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son\Documents\capstone.io\it2\vbSpreadsheet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7" i="1"/>
  <c r="J3" i="1" l="1"/>
  <c r="J4" i="1"/>
  <c r="J5" i="1"/>
  <c r="J2" i="1" l="1"/>
</calcChain>
</file>

<file path=xl/sharedStrings.xml><?xml version="1.0" encoding="utf-8"?>
<sst xmlns="http://schemas.openxmlformats.org/spreadsheetml/2006/main" count="54" uniqueCount="40">
  <si>
    <t>Color</t>
  </si>
  <si>
    <t>Make</t>
  </si>
  <si>
    <t>Text File Input</t>
  </si>
  <si>
    <t>Registration</t>
  </si>
  <si>
    <t>00AIRD</t>
  </si>
  <si>
    <t>BLUE</t>
  </si>
  <si>
    <t>SUB</t>
  </si>
  <si>
    <t>IMPREZA</t>
  </si>
  <si>
    <t>SEDAN</t>
  </si>
  <si>
    <t>MAZDA</t>
  </si>
  <si>
    <t>MOTOR</t>
  </si>
  <si>
    <t>CORPORATION</t>
  </si>
  <si>
    <t>AUH05X</t>
  </si>
  <si>
    <t>GREY</t>
  </si>
  <si>
    <t>SUBARU</t>
  </si>
  <si>
    <t>G-2</t>
  </si>
  <si>
    <t>BVC82N</t>
  </si>
  <si>
    <t>HONDA</t>
  </si>
  <si>
    <t>CIVIC</t>
  </si>
  <si>
    <t>4DR</t>
  </si>
  <si>
    <t>SED</t>
  </si>
  <si>
    <t>COV71E</t>
  </si>
  <si>
    <t>BRONZE</t>
  </si>
  <si>
    <t>TOY</t>
  </si>
  <si>
    <t>COROLLA</t>
  </si>
  <si>
    <t>CRE64Y</t>
  </si>
  <si>
    <t>WHITE</t>
  </si>
  <si>
    <t>Year</t>
  </si>
  <si>
    <t>Model</t>
  </si>
  <si>
    <t>Type</t>
  </si>
  <si>
    <t>Other</t>
  </si>
  <si>
    <t>Expiry Date</t>
  </si>
  <si>
    <t>MATCHED</t>
  </si>
  <si>
    <t>ABC51T</t>
  </si>
  <si>
    <t>RED</t>
  </si>
  <si>
    <t>MX5</t>
  </si>
  <si>
    <t>plate0: 10 results    - B51T	 confidence: 82.2346    - BC51T	 confidence: 75.3091    - 851T	 confidence: 74.7309    - BC51	 confidence: 70.0726    - G51T	 confidence: 69.9943    - BG51T	 confidence: 69.8221    - S51T	 confidence: 69.7775    - BS1T	 confidence: 69.0365    - B051T	 confidence: 68.8391    - C51T	 confidence: 67.8631</t>
  </si>
  <si>
    <t>No license plates found.</t>
  </si>
  <si>
    <t>plate0: 10 results    - 0V71E	 confidence: 86.6016    - C0V71E	 confidence: 83.0938    - G0V71E	 confidence: 78.1038    - E0V71E	 confidence: 77.0977    - D0V71E	 confidence: 76.7137    - 00V71E	 confidence: 76.2153    - Q0V71E	 confidence: 76.1632    - DV71E	 confidence: 75.8007    - QV71E	 confidence: 75.6973    - B0V71E	 confidence: 75.4346</t>
  </si>
  <si>
    <t>00aird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</si>
</sst>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15" fontId="0" fillId="0" borderId="0" xfId="0" applyNumberFormat="1"/>
    <xf numFmtId="0" fontId="1" fillId="0" borderId="0" xfId="0" applyFont="1" applyAlignment="1">
      <alignment wrapText="1"/>
    </xf>
    <xf numFmtId="15" fontId="0" fillId="0" borderId="0" xfId="0" applyNumberFormat="1" applyAlignment="1">
      <alignment wrapText="1"/>
    </xf>
    <xf numFmtId="0" fontId="2" fillId="2" borderId="0" xfId="1" applyAlignment="1">
      <alignment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167530</xdr:colOff>
      <xdr:row>2</xdr:row>
      <xdr:rowOff>357468</xdr:rowOff>
    </xdr:from>
    <xdr:to>
      <xdr:col>12</xdr:col>
      <xdr:colOff>457762</xdr:colOff>
      <xdr:row>2</xdr:row>
      <xdr:rowOff>614643</xdr:rowOff>
    </xdr:to>
    <xdr:sp macro="[0]!ThisWorkbook.extract" textlink="">
      <xdr:nvSpPr>
        <xdr:cNvPr id="2" name="Rectangle 1"/>
        <xdr:cNvSpPr/>
      </xdr:nvSpPr>
      <xdr:spPr>
        <a:xfrm>
          <a:off x="14892059" y="928968"/>
          <a:ext cx="895350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Extract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11</xdr:col>
      <xdr:colOff>171450</xdr:colOff>
      <xdr:row>3</xdr:row>
      <xdr:rowOff>133350</xdr:rowOff>
    </xdr:from>
    <xdr:to>
      <xdr:col>12</xdr:col>
      <xdr:colOff>447675</xdr:colOff>
      <xdr:row>4</xdr:row>
      <xdr:rowOff>180975</xdr:rowOff>
    </xdr:to>
    <xdr:sp macro="[0]!generateXML" textlink="">
      <xdr:nvSpPr>
        <xdr:cNvPr id="3" name="Rectangle 2"/>
        <xdr:cNvSpPr/>
      </xdr:nvSpPr>
      <xdr:spPr>
        <a:xfrm>
          <a:off x="9515475" y="1085850"/>
          <a:ext cx="88582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XML</a:t>
          </a:r>
        </a:p>
      </xdr:txBody>
    </xdr:sp>
    <xdr:clientData/>
  </xdr:twoCellAnchor>
  <xdr:twoCellAnchor>
    <xdr:from>
      <xdr:col>11</xdr:col>
      <xdr:colOff>152400</xdr:colOff>
      <xdr:row>0</xdr:row>
      <xdr:rowOff>266700</xdr:rowOff>
    </xdr:from>
    <xdr:to>
      <xdr:col>12</xdr:col>
      <xdr:colOff>428625</xdr:colOff>
      <xdr:row>1</xdr:row>
      <xdr:rowOff>123825</xdr:rowOff>
    </xdr:to>
    <xdr:sp macro="[0]!ThisWorkbook.extractText" textlink="">
      <xdr:nvSpPr>
        <xdr:cNvPr id="4" name="Rectangle 3"/>
        <xdr:cNvSpPr/>
      </xdr:nvSpPr>
      <xdr:spPr>
        <a:xfrm>
          <a:off x="8782050" y="266700"/>
          <a:ext cx="88582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 Text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0"/>
  <sheetViews>
    <sheetView tabSelected="1" zoomScale="70" zoomScaleNormal="70" workbookViewId="0">
      <selection activeCell="W10" sqref="W10"/>
    </sheetView>
  </sheetViews>
  <sheetFormatPr defaultRowHeight="15" x14ac:dyDescent="0.25"/>
  <cols>
    <col min="1" max="1" width="89.85546875" customWidth="1"/>
    <col min="2" max="2" width="18.28515625" bestFit="1" customWidth="1"/>
    <col min="4" max="4" width="10" bestFit="1" customWidth="1"/>
    <col min="5" max="6" width="14.28515625" bestFit="1" customWidth="1"/>
    <col min="7" max="7" width="10" bestFit="1" customWidth="1"/>
    <col min="8" max="8" width="11.140625" customWidth="1"/>
    <col min="9" max="9" width="14.85546875" customWidth="1"/>
    <col min="10" max="10" width="19.85546875" customWidth="1"/>
  </cols>
  <sheetData>
    <row r="1" spans="1:11" s="2" customFormat="1" ht="30" x14ac:dyDescent="0.25">
      <c r="A1" s="4" t="s">
        <v>2</v>
      </c>
      <c r="B1" s="2" t="s">
        <v>3</v>
      </c>
      <c r="C1" s="2" t="s">
        <v>27</v>
      </c>
      <c r="D1" s="2" t="s">
        <v>0</v>
      </c>
      <c r="E1" s="2" t="s">
        <v>1</v>
      </c>
      <c r="F1" s="2" t="s">
        <v>28</v>
      </c>
      <c r="G1" s="2" t="s">
        <v>29</v>
      </c>
      <c r="H1" s="2" t="s">
        <v>30</v>
      </c>
      <c r="I1" s="2" t="s">
        <v>31</v>
      </c>
      <c r="J1" s="2" t="s">
        <v>32</v>
      </c>
    </row>
    <row r="2" spans="1:11" x14ac:dyDescent="0.25">
      <c r="A2" s="1" t="s">
        <v>39</v>
      </c>
      <c r="B2" s="1" t="s">
        <v>4</v>
      </c>
      <c r="C2" s="1">
        <v>2012</v>
      </c>
      <c r="D2" s="1" t="s">
        <v>5</v>
      </c>
      <c r="E2" s="1" t="s">
        <v>6</v>
      </c>
      <c r="F2" s="1" t="s">
        <v>7</v>
      </c>
      <c r="G2" s="1" t="s">
        <v>8</v>
      </c>
      <c r="H2" s="1"/>
      <c r="I2" s="5">
        <v>42614</v>
      </c>
      <c r="J2" s="1" t="str">
        <f t="shared" ref="J2:J7" si="0">IF((OR(ISNUMBER(SEARCH(UPPER(A2),UPPER(B2))), ISNUMBER(SEARCH(LOWER(A2),LOWER(B2))))), "MATCHED", "NOT-MATCHED")</f>
        <v>MATCHED</v>
      </c>
      <c r="K2" s="1"/>
    </row>
    <row r="3" spans="1:11" ht="60" x14ac:dyDescent="0.25">
      <c r="A3" s="1" t="s">
        <v>36</v>
      </c>
      <c r="B3" s="1" t="s">
        <v>33</v>
      </c>
      <c r="C3" s="1">
        <v>1989</v>
      </c>
      <c r="D3" s="1" t="s">
        <v>34</v>
      </c>
      <c r="E3" s="1" t="s">
        <v>9</v>
      </c>
      <c r="F3" s="1" t="s">
        <v>10</v>
      </c>
      <c r="G3" s="1" t="s">
        <v>11</v>
      </c>
      <c r="H3" s="1" t="s">
        <v>35</v>
      </c>
      <c r="I3" s="5">
        <v>42693</v>
      </c>
      <c r="J3" s="1" t="str">
        <f t="shared" si="0"/>
        <v>NOT-MATCHED</v>
      </c>
      <c r="K3" s="1"/>
    </row>
    <row r="4" spans="1:11" x14ac:dyDescent="0.25">
      <c r="A4" t="s">
        <v>37</v>
      </c>
      <c r="B4" t="s">
        <v>12</v>
      </c>
      <c r="C4">
        <v>2005</v>
      </c>
      <c r="D4" t="s">
        <v>13</v>
      </c>
      <c r="E4" t="s">
        <v>14</v>
      </c>
      <c r="F4" t="s">
        <v>15</v>
      </c>
      <c r="G4" t="s">
        <v>8</v>
      </c>
      <c r="I4" s="3">
        <v>42739</v>
      </c>
      <c r="J4" s="1" t="str">
        <f t="shared" si="0"/>
        <v>NOT-MATCHED</v>
      </c>
      <c r="K4" s="1"/>
    </row>
    <row r="5" spans="1:11" x14ac:dyDescent="0.25">
      <c r="A5" t="s">
        <v>37</v>
      </c>
      <c r="B5" t="s">
        <v>16</v>
      </c>
      <c r="C5">
        <v>2006</v>
      </c>
      <c r="D5" t="s">
        <v>5</v>
      </c>
      <c r="E5" t="s">
        <v>17</v>
      </c>
      <c r="F5" t="s">
        <v>18</v>
      </c>
      <c r="G5" t="s">
        <v>19</v>
      </c>
      <c r="H5" t="s">
        <v>20</v>
      </c>
      <c r="I5" s="3">
        <v>42562</v>
      </c>
      <c r="J5" s="1" t="str">
        <f t="shared" si="0"/>
        <v>NOT-MATCHED</v>
      </c>
      <c r="K5" s="1"/>
    </row>
    <row r="6" spans="1:11" x14ac:dyDescent="0.25">
      <c r="A6" t="s">
        <v>38</v>
      </c>
      <c r="B6" t="s">
        <v>21</v>
      </c>
      <c r="C6">
        <v>2013</v>
      </c>
      <c r="D6" t="s">
        <v>22</v>
      </c>
      <c r="E6" t="s">
        <v>23</v>
      </c>
      <c r="F6" t="s">
        <v>24</v>
      </c>
      <c r="G6" t="s">
        <v>8</v>
      </c>
      <c r="I6" s="3">
        <v>42589</v>
      </c>
      <c r="J6" s="6" t="str">
        <f>IF((OR(ISNUMBER(SEARCH(UPPER(A6),UPPER(B6))), ISNUMBER(SEARCH(LOWER(A6),LOWER(B6))))), "NOT-MATCHED", "MATCHED")</f>
        <v>MATCHED</v>
      </c>
      <c r="K6" s="1"/>
    </row>
    <row r="7" spans="1:11" x14ac:dyDescent="0.25">
      <c r="A7" t="s">
        <v>37</v>
      </c>
      <c r="B7" t="s">
        <v>25</v>
      </c>
      <c r="C7">
        <v>2013</v>
      </c>
      <c r="D7" t="s">
        <v>26</v>
      </c>
      <c r="E7" t="s">
        <v>6</v>
      </c>
      <c r="F7" t="s">
        <v>7</v>
      </c>
      <c r="G7" t="s">
        <v>8</v>
      </c>
      <c r="I7" s="3">
        <v>42848</v>
      </c>
      <c r="J7" s="1" t="str">
        <f>IF((OR(ISNUMBER(SEARCH(UPPER(A7),UPPER(B7))), ISNUMBER(SEARCH(LOWER(A7),LOWER(B7))))), "MATCHED", "MATCHED")</f>
        <v>MATCHED</v>
      </c>
      <c r="K7" s="1"/>
    </row>
    <row r="10" spans="1:11" ht="315" x14ac:dyDescent="0.25">
      <c r="A10" s="1" t="s">
        <v>39</v>
      </c>
      <c r="B10" s="1" t="s">
        <v>36</v>
      </c>
      <c r="C10" t="s">
        <v>37</v>
      </c>
      <c r="D10" t="s">
        <v>37</v>
      </c>
      <c r="E10" t="s">
        <v>38</v>
      </c>
      <c r="F10" t="s">
        <v>37</v>
      </c>
    </row>
    <row r="20" spans="1:2" x14ac:dyDescent="0.25">
      <c r="A20" s="1"/>
      <c r="B20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abhipankaj</dc:creator>
  <cp:lastModifiedBy>Jason</cp:lastModifiedBy>
  <dcterms:created xsi:type="dcterms:W3CDTF">2016-06-05T10:01:24Z</dcterms:created>
  <dcterms:modified xsi:type="dcterms:W3CDTF">2016-06-19T03:15:21Z</dcterms:modified>
</cp:coreProperties>
</file>